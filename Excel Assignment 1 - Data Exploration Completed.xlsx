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e9af62ee0ce20b/Desktop/Data Analytics/"/>
    </mc:Choice>
  </mc:AlternateContent>
  <xr:revisionPtr revIDLastSave="3" documentId="8_{7C8E7815-F36F-4537-99B5-7AD8E9B54131}" xr6:coauthVersionLast="47" xr6:coauthVersionMax="47" xr10:uidLastSave="{317F75BE-D5C6-4F80-8223-3DB95A9DCD47}"/>
  <bookViews>
    <workbookView minimized="1" xWindow="4080" yWindow="4080" windowWidth="10332" windowHeight="6000" activeTab="2" xr2:uid="{00000000-000D-0000-FFFF-FFFF00000000}"/>
  </bookViews>
  <sheets>
    <sheet name="Instructions" sheetId="1" r:id="rId1"/>
    <sheet name="Dataset" sheetId="2" r:id="rId2"/>
    <sheet name="Answer Sheet" sheetId="3" r:id="rId3"/>
  </sheets>
  <definedNames>
    <definedName name="_xlnm._FilterDatabase" localSheetId="2" hidden="1">'Answer Sheet'!$A$1:$N$35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2" i="3"/>
  <c r="N2" i="3"/>
  <c r="M2" i="3"/>
  <c r="K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2" i="3"/>
  <c r="J2" i="3"/>
  <c r="I2" i="3"/>
  <c r="H2" i="3"/>
  <c r="G2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<sst xmlns="http://schemas.openxmlformats.org/spreadsheetml/2006/main" count="312" uniqueCount="121">
  <si>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</si>
  <si>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</si>
  <si>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</si>
  <si>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</si>
  <si>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</si>
  <si>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</si>
  <si>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</si>
  <si>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</si>
  <si>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</si>
  <si>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</si>
  <si>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</si>
  <si>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</si>
  <si>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</si>
  <si>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</si>
  <si>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</si>
  <si>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</si>
  <si>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</si>
  <si>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</si>
  <si>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</si>
  <si>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</si>
  <si>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</si>
  <si>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</si>
  <si>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</si>
  <si>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</si>
  <si>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</si>
  <si>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</si>
  <si>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</si>
  <si>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</si>
  <si>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</si>
  <si>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</si>
  <si>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</si>
  <si>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</si>
  <si>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</si>
  <si>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</si>
  <si>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</si>
  <si>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</si>
  <si>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</si>
  <si>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</si>
  <si>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</si>
  <si>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</si>
  <si>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</si>
  <si>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</si>
  <si>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</si>
  <si>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</si>
  <si>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</si>
  <si>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</si>
  <si>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</si>
  <si>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</si>
  <si>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</si>
  <si>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</si>
  <si>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</si>
  <si>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</si>
  <si>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</si>
  <si>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</si>
  <si>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</si>
  <si>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</si>
  <si>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</si>
  <si>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</si>
  <si>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</si>
  <si>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</si>
  <si>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</si>
  <si>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</si>
  <si>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</si>
  <si>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</si>
  <si>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</si>
  <si>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</si>
  <si>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</si>
  <si>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</si>
  <si>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</si>
  <si>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</si>
  <si>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</si>
  <si>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</si>
  <si>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</si>
  <si>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</si>
  <si>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</si>
  <si>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</si>
  <si>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</si>
  <si>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</si>
  <si>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</si>
  <si>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</si>
  <si>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</si>
  <si>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</si>
  <si>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</si>
  <si>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</si>
  <si>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</si>
  <si>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</si>
  <si>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</si>
  <si>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</si>
  <si>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</si>
  <si>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</si>
  <si>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</si>
  <si>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</si>
  <si>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</si>
  <si>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</si>
  <si>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</si>
  <si>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</si>
  <si>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</si>
  <si>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</si>
  <si>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</si>
  <si>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</si>
  <si>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</si>
  <si>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</si>
  <si>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</si>
  <si>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</si>
  <si>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</si>
  <si>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</si>
  <si>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</si>
  <si>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</si>
  <si>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</si>
  <si>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</si>
  <si>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</t>
  </si>
  <si>
    <t>Count Of the Product</t>
  </si>
  <si>
    <t>Average</t>
  </si>
  <si>
    <t>Minimum Price</t>
  </si>
  <si>
    <t>Maximum Price</t>
  </si>
  <si>
    <t>High Price/ Standard Price</t>
  </si>
  <si>
    <t>SUM IF</t>
  </si>
  <si>
    <t>COUNT 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</si>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</sst>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0" workbookViewId="0">
      <selection activeCell="C22" sqref="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F104857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2DEC-E700-45F3-BB7F-019C2DAEA0F4}">
  <dimension ref="A1:Q35"/>
  <sheetViews>
    <sheetView tabSelected="1" topLeftCell="F1" workbookViewId="0">
      <selection activeCell="S9" sqref="S9"/>
    </sheetView>
  </sheetViews>
  <sheetFormatPr defaultRowHeight="13.2" x14ac:dyDescent="0.25"/>
  <cols>
    <col min="1" max="1" width="12.6640625" customWidth="1"/>
    <col min="2" max="2" width="14.109375" customWidth="1"/>
    <col min="3" max="6" width="12.6640625" customWidth="1"/>
    <col min="7" max="7" width="15" customWidth="1"/>
    <col min="8" max="8" width="21.77734375" customWidth="1"/>
    <col min="9" max="9" width="12.44140625" customWidth="1"/>
    <col min="10" max="11" width="15.109375" customWidth="1"/>
    <col min="12" max="12" width="23.5546875" customWidth="1"/>
    <col min="13" max="13" width="15.33203125" customWidth="1"/>
    <col min="14" max="14" width="14.88671875" customWidth="1"/>
    <col min="16" max="16" width="12.6640625" customWidth="1"/>
  </cols>
  <sheetData>
    <row r="1" spans="1:17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116</v>
      </c>
      <c r="N1" s="5" t="s">
        <v>117</v>
      </c>
      <c r="O1" s="5" t="s">
        <v>118</v>
      </c>
      <c r="P1" s="5" t="s">
        <v>119</v>
      </c>
      <c r="Q1" s="5" t="s">
        <v>120</v>
      </c>
    </row>
    <row r="2" spans="1:17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>
        <f>SUM(D2:D35)</f>
        <v>10100</v>
      </c>
      <c r="H2">
        <f>COUNT(D2:D35)</f>
        <v>34</v>
      </c>
      <c r="I2">
        <f>AVERAGE('Answer Sheet'!D2:D35)</f>
        <v>297.05882352941177</v>
      </c>
      <c r="J2">
        <f>MIN(D2:D35)</f>
        <v>30</v>
      </c>
      <c r="K2">
        <f>MAX(D2:D35)</f>
        <v>1000</v>
      </c>
      <c r="L2" t="str">
        <f t="shared" ref="L2:L35" si="0">IF(D2&gt;=500,"High Price","Standard Price")</f>
        <v>High Price</v>
      </c>
      <c r="M2">
        <f>SUMIF(F2:F35,"Electronics",D2:D35)</f>
        <v>8050</v>
      </c>
      <c r="N2">
        <f>COUNTIF(D2:D35,"&lt;100")</f>
        <v>11</v>
      </c>
      <c r="O2" t="str">
        <f>LEFT(A2,2)</f>
        <v>28</v>
      </c>
      <c r="P2" t="str">
        <f>RIGHT(A2,2)</f>
        <v>US</v>
      </c>
      <c r="Q2" t="str">
        <f>MID(A2,4,3)</f>
        <v>JAN</v>
      </c>
    </row>
    <row r="3" spans="1:17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L3" t="str">
        <f t="shared" si="0"/>
        <v>Standard Price</v>
      </c>
      <c r="O3" t="str">
        <f t="shared" ref="O3:O35" si="1">LEFT(A3,2)</f>
        <v>15</v>
      </c>
      <c r="P3" t="str">
        <f t="shared" ref="P3:P35" si="2">RIGHT(A3,2)</f>
        <v>US</v>
      </c>
      <c r="Q3" t="str">
        <f t="shared" ref="Q3:Q35" si="3">MID(A3,4,3)</f>
        <v>FEB</v>
      </c>
    </row>
    <row r="4" spans="1:17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L4" t="str">
        <f t="shared" si="0"/>
        <v>Standard Price</v>
      </c>
      <c r="O4" t="str">
        <f t="shared" si="1"/>
        <v>03</v>
      </c>
      <c r="P4" t="str">
        <f t="shared" si="2"/>
        <v>US</v>
      </c>
      <c r="Q4" t="str">
        <f t="shared" si="3"/>
        <v>MAR</v>
      </c>
    </row>
    <row r="5" spans="1:17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L5" t="str">
        <f t="shared" si="0"/>
        <v>High Price</v>
      </c>
      <c r="O5" t="str">
        <f t="shared" si="1"/>
        <v>11</v>
      </c>
      <c r="P5" t="str">
        <f t="shared" si="2"/>
        <v>US</v>
      </c>
      <c r="Q5" t="str">
        <f t="shared" si="3"/>
        <v>APR</v>
      </c>
    </row>
    <row r="6" spans="1:17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L6" t="str">
        <f t="shared" si="0"/>
        <v>Standard Price</v>
      </c>
      <c r="O6" t="str">
        <f t="shared" si="1"/>
        <v>22</v>
      </c>
      <c r="P6" t="str">
        <f t="shared" si="2"/>
        <v>US</v>
      </c>
      <c r="Q6" t="str">
        <f t="shared" si="3"/>
        <v>MAY</v>
      </c>
    </row>
    <row r="7" spans="1:17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L7" t="str">
        <f t="shared" si="0"/>
        <v>Standard Price</v>
      </c>
      <c r="O7" t="str">
        <f t="shared" si="1"/>
        <v>07</v>
      </c>
      <c r="P7" t="str">
        <f t="shared" si="2"/>
        <v>UK</v>
      </c>
      <c r="Q7" t="str">
        <f t="shared" si="3"/>
        <v>JUN</v>
      </c>
    </row>
    <row r="8" spans="1:17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L8" t="str">
        <f t="shared" si="0"/>
        <v>Standard Price</v>
      </c>
      <c r="O8" t="str">
        <f t="shared" si="1"/>
        <v>19</v>
      </c>
      <c r="P8" t="str">
        <f t="shared" si="2"/>
        <v>UK</v>
      </c>
      <c r="Q8" t="str">
        <f t="shared" si="3"/>
        <v>JUL</v>
      </c>
    </row>
    <row r="9" spans="1:17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L9" t="str">
        <f t="shared" si="0"/>
        <v>Standard Price</v>
      </c>
      <c r="O9" t="str">
        <f t="shared" si="1"/>
        <v>23</v>
      </c>
      <c r="P9" t="str">
        <f t="shared" si="2"/>
        <v>UK</v>
      </c>
      <c r="Q9" t="str">
        <f t="shared" si="3"/>
        <v>AUG</v>
      </c>
    </row>
    <row r="10" spans="1:17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L10" t="str">
        <f t="shared" si="0"/>
        <v>High Price</v>
      </c>
      <c r="O10" t="str">
        <f t="shared" si="1"/>
        <v>05</v>
      </c>
      <c r="P10" t="str">
        <f t="shared" si="2"/>
        <v>UK</v>
      </c>
      <c r="Q10" t="str">
        <f t="shared" si="3"/>
        <v>SEP</v>
      </c>
    </row>
    <row r="11" spans="1:17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L11" t="str">
        <f t="shared" si="0"/>
        <v>Standard Price</v>
      </c>
      <c r="O11" t="str">
        <f t="shared" si="1"/>
        <v>14</v>
      </c>
      <c r="P11" t="str">
        <f t="shared" si="2"/>
        <v>UK</v>
      </c>
      <c r="Q11" t="str">
        <f t="shared" si="3"/>
        <v>OCT</v>
      </c>
    </row>
    <row r="12" spans="1:17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L12" t="str">
        <f t="shared" si="0"/>
        <v>High Price</v>
      </c>
      <c r="O12" t="str">
        <f t="shared" si="1"/>
        <v>17</v>
      </c>
      <c r="P12" t="str">
        <f t="shared" si="2"/>
        <v>IN</v>
      </c>
      <c r="Q12" t="str">
        <f t="shared" si="3"/>
        <v>JUN</v>
      </c>
    </row>
    <row r="13" spans="1:17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L13" t="str">
        <f t="shared" si="0"/>
        <v>Standard Price</v>
      </c>
      <c r="O13" t="str">
        <f t="shared" si="1"/>
        <v>25</v>
      </c>
      <c r="P13" t="str">
        <f t="shared" si="2"/>
        <v>AU</v>
      </c>
      <c r="Q13" t="str">
        <f t="shared" si="3"/>
        <v>NOV</v>
      </c>
    </row>
    <row r="14" spans="1:17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L14" t="str">
        <f t="shared" si="0"/>
        <v>Standard Price</v>
      </c>
      <c r="O14" t="str">
        <f t="shared" si="1"/>
        <v>08</v>
      </c>
      <c r="P14" t="str">
        <f t="shared" si="2"/>
        <v>DE</v>
      </c>
      <c r="Q14" t="str">
        <f t="shared" si="3"/>
        <v>DEC</v>
      </c>
    </row>
    <row r="15" spans="1:17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L15" t="str">
        <f t="shared" si="0"/>
        <v>Standard Price</v>
      </c>
      <c r="O15" t="str">
        <f t="shared" si="1"/>
        <v>18</v>
      </c>
      <c r="P15" t="str">
        <f t="shared" si="2"/>
        <v>CA</v>
      </c>
      <c r="Q15" t="str">
        <f t="shared" si="3"/>
        <v>FEB</v>
      </c>
    </row>
    <row r="16" spans="1:17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L16" t="str">
        <f t="shared" si="0"/>
        <v>Standard Price</v>
      </c>
      <c r="O16" t="str">
        <f t="shared" si="1"/>
        <v>16</v>
      </c>
      <c r="P16" t="str">
        <f t="shared" si="2"/>
        <v>ES</v>
      </c>
      <c r="Q16" t="str">
        <f t="shared" si="3"/>
        <v>APR</v>
      </c>
    </row>
    <row r="17" spans="1:17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L17" t="str">
        <f t="shared" si="0"/>
        <v>Standard Price</v>
      </c>
      <c r="O17" t="str">
        <f t="shared" si="1"/>
        <v>21</v>
      </c>
      <c r="P17" t="str">
        <f t="shared" si="2"/>
        <v>CA</v>
      </c>
      <c r="Q17" t="str">
        <f t="shared" si="3"/>
        <v>AUG</v>
      </c>
    </row>
    <row r="18" spans="1:17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L18" t="str">
        <f t="shared" si="0"/>
        <v>Standard Price</v>
      </c>
      <c r="O18" t="str">
        <f t="shared" si="1"/>
        <v>20</v>
      </c>
      <c r="P18" t="str">
        <f t="shared" si="2"/>
        <v>CN</v>
      </c>
      <c r="Q18" t="str">
        <f t="shared" si="3"/>
        <v>AUG</v>
      </c>
    </row>
    <row r="19" spans="1:17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L19" t="str">
        <f t="shared" si="0"/>
        <v>High Price</v>
      </c>
      <c r="O19" t="str">
        <f t="shared" si="1"/>
        <v>27</v>
      </c>
      <c r="P19" t="str">
        <f t="shared" si="2"/>
        <v>IT</v>
      </c>
      <c r="Q19" t="str">
        <f t="shared" si="3"/>
        <v>JAN</v>
      </c>
    </row>
    <row r="20" spans="1:17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L20" t="str">
        <f t="shared" si="0"/>
        <v>Standard Price</v>
      </c>
      <c r="O20" t="str">
        <f t="shared" si="1"/>
        <v>01</v>
      </c>
      <c r="P20" t="str">
        <f t="shared" si="2"/>
        <v>UK</v>
      </c>
      <c r="Q20" t="str">
        <f t="shared" si="3"/>
        <v>MAR</v>
      </c>
    </row>
    <row r="21" spans="1:17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L21" t="str">
        <f t="shared" si="0"/>
        <v>Standard Price</v>
      </c>
      <c r="O21" t="str">
        <f t="shared" si="1"/>
        <v>14</v>
      </c>
      <c r="P21" t="str">
        <f t="shared" si="2"/>
        <v>US</v>
      </c>
      <c r="Q21" t="str">
        <f t="shared" si="3"/>
        <v>AUG</v>
      </c>
    </row>
    <row r="22" spans="1:17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L22" t="str">
        <f t="shared" si="0"/>
        <v>High Price</v>
      </c>
      <c r="O22" t="str">
        <f t="shared" si="1"/>
        <v>14</v>
      </c>
      <c r="P22" t="str">
        <f t="shared" si="2"/>
        <v>RU</v>
      </c>
      <c r="Q22" t="str">
        <f t="shared" si="3"/>
        <v>MAY</v>
      </c>
    </row>
    <row r="23" spans="1:17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L23" t="str">
        <f t="shared" si="0"/>
        <v>Standard Price</v>
      </c>
      <c r="O23" t="str">
        <f t="shared" si="1"/>
        <v>09</v>
      </c>
      <c r="P23" t="str">
        <f t="shared" si="2"/>
        <v>CA</v>
      </c>
      <c r="Q23" t="str">
        <f t="shared" si="3"/>
        <v>JAN</v>
      </c>
    </row>
    <row r="24" spans="1:17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L24" t="str">
        <f t="shared" si="0"/>
        <v>Standard Price</v>
      </c>
      <c r="O24" t="str">
        <f t="shared" si="1"/>
        <v>19</v>
      </c>
      <c r="P24" t="str">
        <f t="shared" si="2"/>
        <v>BR</v>
      </c>
      <c r="Q24" t="str">
        <f t="shared" si="3"/>
        <v>JUL</v>
      </c>
    </row>
    <row r="25" spans="1:17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L25" t="str">
        <f t="shared" si="0"/>
        <v>Standard Price</v>
      </c>
      <c r="O25" t="str">
        <f t="shared" si="1"/>
        <v>21</v>
      </c>
      <c r="P25" t="str">
        <f t="shared" si="2"/>
        <v>CA</v>
      </c>
      <c r="Q25" t="str">
        <f t="shared" si="3"/>
        <v>AUG</v>
      </c>
    </row>
    <row r="26" spans="1:17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L26" t="str">
        <f t="shared" si="0"/>
        <v>High Price</v>
      </c>
      <c r="O26" t="str">
        <f t="shared" si="1"/>
        <v>29</v>
      </c>
      <c r="P26" t="str">
        <f t="shared" si="2"/>
        <v>CA</v>
      </c>
      <c r="Q26" t="str">
        <f t="shared" si="3"/>
        <v>SEP</v>
      </c>
    </row>
    <row r="27" spans="1:17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L27" t="str">
        <f t="shared" si="0"/>
        <v>Standard Price</v>
      </c>
      <c r="O27" t="str">
        <f t="shared" si="1"/>
        <v>03</v>
      </c>
      <c r="P27" t="str">
        <f t="shared" si="2"/>
        <v>CA</v>
      </c>
      <c r="Q27" t="str">
        <f t="shared" si="3"/>
        <v>JUN</v>
      </c>
    </row>
    <row r="28" spans="1:17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L28" t="str">
        <f t="shared" si="0"/>
        <v>Standard Price</v>
      </c>
      <c r="O28" t="str">
        <f t="shared" si="1"/>
        <v>11</v>
      </c>
      <c r="P28" t="str">
        <f t="shared" si="2"/>
        <v>CA</v>
      </c>
      <c r="Q28" t="str">
        <f t="shared" si="3"/>
        <v>JUL</v>
      </c>
    </row>
    <row r="29" spans="1:17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L29" t="str">
        <f t="shared" si="0"/>
        <v>Standard Price</v>
      </c>
      <c r="O29" t="str">
        <f t="shared" si="1"/>
        <v>16</v>
      </c>
      <c r="P29" t="str">
        <f t="shared" si="2"/>
        <v>ES</v>
      </c>
      <c r="Q29" t="str">
        <f t="shared" si="3"/>
        <v>APR</v>
      </c>
    </row>
    <row r="30" spans="1:17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L30" t="str">
        <f t="shared" si="0"/>
        <v>Standard Price</v>
      </c>
      <c r="O30" t="str">
        <f t="shared" si="1"/>
        <v>07</v>
      </c>
      <c r="P30" t="str">
        <f t="shared" si="2"/>
        <v>CA</v>
      </c>
      <c r="Q30" t="str">
        <f t="shared" si="3"/>
        <v>MAR</v>
      </c>
    </row>
    <row r="31" spans="1:17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L31" t="str">
        <f t="shared" si="0"/>
        <v>Standard Price</v>
      </c>
      <c r="O31" t="str">
        <f t="shared" si="1"/>
        <v>13</v>
      </c>
      <c r="P31" t="str">
        <f t="shared" si="2"/>
        <v>CA</v>
      </c>
      <c r="Q31" t="str">
        <f t="shared" si="3"/>
        <v>APR</v>
      </c>
    </row>
    <row r="32" spans="1:17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L32" t="str">
        <f t="shared" si="0"/>
        <v>Standard Price</v>
      </c>
      <c r="O32" t="str">
        <f t="shared" si="1"/>
        <v>24</v>
      </c>
      <c r="P32" t="str">
        <f t="shared" si="2"/>
        <v>CA</v>
      </c>
      <c r="Q32" t="str">
        <f t="shared" si="3"/>
        <v>MAY</v>
      </c>
    </row>
    <row r="33" spans="1:17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L33" t="str">
        <f t="shared" si="0"/>
        <v>Standard Price</v>
      </c>
      <c r="O33" t="str">
        <f t="shared" si="1"/>
        <v>02</v>
      </c>
      <c r="P33" t="str">
        <f t="shared" si="2"/>
        <v>CA</v>
      </c>
      <c r="Q33" t="str">
        <f t="shared" si="3"/>
        <v>DEC</v>
      </c>
    </row>
    <row r="34" spans="1:17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L34" t="str">
        <f t="shared" si="0"/>
        <v>High Price</v>
      </c>
      <c r="O34" t="str">
        <f t="shared" si="1"/>
        <v>17</v>
      </c>
      <c r="P34" t="str">
        <f t="shared" si="2"/>
        <v>IN</v>
      </c>
      <c r="Q34" t="str">
        <f t="shared" si="3"/>
        <v>JUN</v>
      </c>
    </row>
    <row r="35" spans="1:17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L35" t="str">
        <f t="shared" si="0"/>
        <v>Standard Price</v>
      </c>
      <c r="O35" t="str">
        <f t="shared" si="1"/>
        <v>09</v>
      </c>
      <c r="P35" t="str">
        <f t="shared" si="2"/>
        <v>FR</v>
      </c>
      <c r="Q35" t="str">
        <f t="shared" si="3"/>
        <v>JUL</v>
      </c>
    </row>
  </sheetData>
  <autoFilter ref="A1:N35" xr:uid="{70022DEC-E700-45F3-BB7F-019C2DAEA0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 Rojan</dc:creator>
  <cp:lastModifiedBy>Niya Rojan</cp:lastModifiedBy>
  <dcterms:created xsi:type="dcterms:W3CDTF">2026-10-15T14:00:12Z</dcterms:created>
  <dcterms:modified xsi:type="dcterms:W3CDTF">2026-10-15T14:05:06Z</dcterms:modified>
</cp:coreProperties>
</file>